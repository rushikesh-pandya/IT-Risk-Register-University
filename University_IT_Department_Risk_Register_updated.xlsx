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Register" sheetId="1" state="visible" r:id="rId3"/>
    <sheet name="Heat Map" sheetId="2" state="visible" r:id="rId4"/>
  </sheets>
  <definedNames>
    <definedName function="false" hidden="true" localSheetId="0" name="_xlnm._FilterDatabase" vbProcedure="false">'Risk Register'!$A$1:$N$14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<sst xmlns="http://schemas.openxmlformats.org/spreadsheetml/2006/main" count="170" uniqueCount="135">
  <si>
    <t xml:space="preserve">Risk ID</t>
  </si>
  <si>
    <t xml:space="preserve">Category</t>
  </si>
  <si>
    <t xml:space="preserve">Risk Name</t>
  </si>
  <si>
    <t xml:space="preserve">Description</t>
  </si>
  <si>
    <t xml:space="preserve">Threat Source</t>
  </si>
  <si>
    <t xml:space="preserve">Affected Asset</t>
  </si>
  <si>
    <t xml:space="preserve">Likelihood
(1-5)</t>
  </si>
  <si>
    <t xml:space="preserve">Impact
(1-5)</t>
  </si>
  <si>
    <t xml:space="preserve">Risk Score</t>
  </si>
  <si>
    <t xml:space="preserve">Risk Level</t>
  </si>
  <si>
    <t xml:space="preserve">Current Controls</t>
  </si>
  <si>
    <t xml:space="preserve">Treatment</t>
  </si>
  <si>
    <t xml:space="preserve">Recommended Action</t>
  </si>
  <si>
    <t xml:space="preserve">Risk Owner</t>
  </si>
  <si>
    <t xml:space="preserve">R-001</t>
  </si>
  <si>
    <t xml:space="preserve">Cybersecurity</t>
  </si>
  <si>
    <t xml:space="preserve">Phishing attack on staff / students</t>
  </si>
  <si>
    <t xml:space="preserve">Due to low security awareness among university users, a phishing email may deceive staff or students into revealing credentials, resulting in unauthorised access to university systems and potential data breaches.</t>
  </si>
  <si>
    <t xml:space="preserve">External attacker</t>
  </si>
  <si>
    <t xml:space="preserve">Email accounts, student portal</t>
  </si>
  <si>
    <t xml:space="preserve">Email spam filters in place; basic IT security awareness at induction. No formal phishing simulation program.</t>
  </si>
  <si>
    <t xml:space="preserve">Mitigate</t>
  </si>
  <si>
    <t xml:space="preserve">Launch mandatory annual phishing awareness training and simulated phishing tests for all staff and students.</t>
  </si>
  <si>
    <t xml:space="preserve">Head of IT Security</t>
  </si>
  <si>
    <t xml:space="preserve">R-002</t>
  </si>
  <si>
    <t xml:space="preserve">Ransomware attack on university servers</t>
  </si>
  <si>
    <t xml:space="preserve">Due to unpatched systems and open network access, ransomware may be deployed on university servers, resulting in encryption of critical academic and administrative data and disruption of university operations.</t>
  </si>
  <si>
    <t xml:space="preserve">File servers, research databases</t>
  </si>
  <si>
    <t xml:space="preserve">Antivirus on managed devices; perimeter firewall. Patch management inconsistent across departments.</t>
  </si>
  <si>
    <t xml:space="preserve">Implement network segmentation, enforce automated patch management, and test offline backups quarterly.</t>
  </si>
  <si>
    <t xml:space="preserve">IT Infrastructure Manager</t>
  </si>
  <si>
    <t xml:space="preserve">R-003</t>
  </si>
  <si>
    <t xml:space="preserve">Unauthorised access to student records</t>
  </si>
  <si>
    <t xml:space="preserve">Due to weak access controls and shared credentials, an insider or external actor may gain unauthorised access to the student information system, resulting in exposure of personal and academic data of thousands of students.</t>
  </si>
  <si>
    <t xml:space="preserve">Insider / external</t>
  </si>
  <si>
    <t xml:space="preserve">Student information system (SIS)</t>
  </si>
  <si>
    <t xml:space="preserve">Role-based access to SIS exists but not regularly reviewed. MFA not enforced.</t>
  </si>
  <si>
    <t xml:space="preserve">Enforce MFA on all SIS accounts and conduct quarterly access reviews to remove unnecessary permissions.</t>
  </si>
  <si>
    <t xml:space="preserve">R-004</t>
  </si>
  <si>
    <t xml:space="preserve">Compromise of research data</t>
  </si>
  <si>
    <t xml:space="preserve">Due to inadequate security on research lab networks, a threat actor may exfiltrate sensitive or grant-funded research data, resulting in intellectual property theft, reputational damage, and loss of funding.</t>
  </si>
  <si>
    <t xml:space="preserve">Nation-state / competitor</t>
  </si>
  <si>
    <t xml:space="preserve">Research repositories, lab systems</t>
  </si>
  <si>
    <t xml:space="preserve">Separate network access in some faculties. No formal data classification policy for research data.</t>
  </si>
  <si>
    <t xml:space="preserve">Introduce a research data classification policy and isolate sensitive research systems on dedicated monitored network segments.</t>
  </si>
  <si>
    <t xml:space="preserve">Research IT Lead</t>
  </si>
  <si>
    <t xml:space="preserve">R-005</t>
  </si>
  <si>
    <t xml:space="preserve">Operational</t>
  </si>
  <si>
    <t xml:space="preserve">Unplanned IT system downtime</t>
  </si>
  <si>
    <t xml:space="preserve">Due to ageing infrastructure and lack of redundancy, critical IT systems such as the LMS may experience unplanned outages, resulting in disruption to lectures, exams, and student submissions.</t>
  </si>
  <si>
    <t xml:space="preserve">Hardware failure</t>
  </si>
  <si>
    <t xml:space="preserve">LMS, university website, email</t>
  </si>
  <si>
    <t xml:space="preserve">Basic system monitoring in place. Maintenance windows scheduled but not always adhered to. No formal SLA.</t>
  </si>
  <si>
    <t xml:space="preserve">Define and publish availability SLAs, implement redundant hosting for critical systems, and create an outage runbook.</t>
  </si>
  <si>
    <t xml:space="preserve">R-006</t>
  </si>
  <si>
    <t xml:space="preserve">Loss of key IT staff (key person risk)</t>
  </si>
  <si>
    <t xml:space="preserve">Due to over-reliance on specific IT personnel with undocumented knowledge, the unexpected departure of key staff may result in inability to maintain or recover critical systems, causing prolonged service disruption.</t>
  </si>
  <si>
    <t xml:space="preserve">Staff turnover</t>
  </si>
  <si>
    <t xml:space="preserve">IT operations, system administration</t>
  </si>
  <si>
    <t xml:space="preserve">No formal knowledge documentation or succession planning process currently exists.</t>
  </si>
  <si>
    <t xml:space="preserve">Create and maintain runbooks for all critical IT systems, and cross-train at least one additional staff member per key role.</t>
  </si>
  <si>
    <t xml:space="preserve">IT Director</t>
  </si>
  <si>
    <t xml:space="preserve">R-007</t>
  </si>
  <si>
    <t xml:space="preserve">Inadequate data backup and recovery</t>
  </si>
  <si>
    <t xml:space="preserve">Due to inconsistent backup procedures and untested recovery plans, a data loss event may result in permanent loss of academic records, research data, or administrative files.</t>
  </si>
  <si>
    <t xml:space="preserve">System failure / human error</t>
  </si>
  <si>
    <t xml:space="preserve">All university data</t>
  </si>
  <si>
    <t xml:space="preserve">Automated daily backups configured for some systems. Recovery procedures not tested in past 12 months.</t>
  </si>
  <si>
    <t xml:space="preserve">Conduct full backup restoration tests every six months and document recovery times against defined RTO targets.</t>
  </si>
  <si>
    <t xml:space="preserve">R-008</t>
  </si>
  <si>
    <t xml:space="preserve">Compliance</t>
  </si>
  <si>
    <t xml:space="preserve">GDPR non-compliance - student data</t>
  </si>
  <si>
    <t xml:space="preserve">Due to insufficient data governance practices, the university may fail to comply with GDPR obligations regarding student personal data, resulting in regulatory fines, mandatory audits, and reputational damage.</t>
  </si>
  <si>
    <t xml:space="preserve">Poor data management</t>
  </si>
  <si>
    <t xml:space="preserve">Student PII, HR records</t>
  </si>
  <si>
    <t xml:space="preserve">DPO appointed. Privacy notice on website. Data retention schedules not consistently enforced.</t>
  </si>
  <si>
    <t xml:space="preserve">Complete a full data mapping exercise and enforce the data retention schedule across all departments.</t>
  </si>
  <si>
    <t xml:space="preserve">Data Protection Officer</t>
  </si>
  <si>
    <t xml:space="preserve">R-009</t>
  </si>
  <si>
    <t xml:space="preserve">Failure to meet cybersecurity audit requirements</t>
  </si>
  <si>
    <t xml:space="preserve">Due to a lack of documented security controls, the university may fail an external cybersecurity audit, resulting in loss of funding, accreditation, or research grants.</t>
  </si>
  <si>
    <t xml:space="preserve">Compliance gap</t>
  </si>
  <si>
    <t xml:space="preserve">IT security controls, documentation</t>
  </si>
  <si>
    <t xml:space="preserve">Some IT policies documented but not centralised. No internal audit schedule exists.</t>
  </si>
  <si>
    <t xml:space="preserve">Conduct an annual internal self-assessment against Cyber Essentials or ISO 27001 controls before any external audit.</t>
  </si>
  <si>
    <t xml:space="preserve">R-010</t>
  </si>
  <si>
    <t xml:space="preserve">Software licensing non-compliance</t>
  </si>
  <si>
    <t xml:space="preserve">Due to decentralised software procurement across faculties, the university may unknowingly use unlicensed software, resulting in legal liability, financial penalties, and removal of tools used in teaching.</t>
  </si>
  <si>
    <t xml:space="preserve">Poor asset management</t>
  </si>
  <si>
    <t xml:space="preserve">Software assets across campus</t>
  </si>
  <si>
    <t xml:space="preserve">Central IT manages major licenses. Departmental purchases not always routed through IT.</t>
  </si>
  <si>
    <t xml:space="preserve">Accept</t>
  </si>
  <si>
    <t xml:space="preserve">Create a centralised software asset register and require IT approval before any departmental software installation.</t>
  </si>
  <si>
    <t xml:space="preserve">IT Procurement Manager</t>
  </si>
  <si>
    <t xml:space="preserve">R-011</t>
  </si>
  <si>
    <t xml:space="preserve">Third-party / Physical</t>
  </si>
  <si>
    <t xml:space="preserve">Cloud provider outage</t>
  </si>
  <si>
    <t xml:space="preserve">Due to heavy reliance on a single cloud provider, an outage may disrupt all university communications and file access, impacting teaching and administration university-wide.</t>
  </si>
  <si>
    <t xml:space="preserve">Third-party failure</t>
  </si>
  <si>
    <t xml:space="preserve">Email, Teams/Drive, cloud storage</t>
  </si>
  <si>
    <t xml:space="preserve">Availability governed by provider SLA. No fallback communication system if M365 or Google Workspace goes down.</t>
  </si>
  <si>
    <t xml:space="preserve">Transfer</t>
  </si>
  <si>
    <t xml:space="preserve">Review cloud provider SLA commitments and establish a contingency communication plan for major outages.</t>
  </si>
  <si>
    <t xml:space="preserve">R-012</t>
  </si>
  <si>
    <t xml:space="preserve">Physical theft of IT equipment</t>
  </si>
  <si>
    <t xml:space="preserve">Due to inadequate physical security in open-access areas, laptops or portable devices may be stolen, resulting in data exposure, financial loss, and potential GDPR breach notification obligations.</t>
  </si>
  <si>
    <t xml:space="preserve">Physical / opportunistic theft</t>
  </si>
  <si>
    <t xml:space="preserve">Laptops, portable drives, lab equipment</t>
  </si>
  <si>
    <t xml:space="preserve">CCTV in some buildings. Laptops asset-tagged but full-disk encryption not enforced on all devices.</t>
  </si>
  <si>
    <t xml:space="preserve">Enforce full-disk encryption (BitLocker or FileVault) on all university-issued laptops and portable storage devices.</t>
  </si>
  <si>
    <t xml:space="preserve">IT Security Team</t>
  </si>
  <si>
    <t xml:space="preserve">R-013</t>
  </si>
  <si>
    <t xml:space="preserve">Open campus Wi-Fi exploitation</t>
  </si>
  <si>
    <t xml:space="preserve">Due to the open nature of campus Wi-Fi, a malicious actor may intercept network traffic or launch attacks, resulting in data interception and compromise of connected devices.</t>
  </si>
  <si>
    <t xml:space="preserve">External / on-campus attacker</t>
  </si>
  <si>
    <t xml:space="preserve">Campus network, connected devices</t>
  </si>
  <si>
    <t xml:space="preserve">Guest Wi-Fi separated from staff/student networks. Network traffic monitoring is minimal.</t>
  </si>
  <si>
    <t xml:space="preserve">Enforce WPA2/WPA3 encryption on all campus Wi-Fi access points and deploy network monitoring tools.</t>
  </si>
  <si>
    <t xml:space="preserve">Network Operations Team</t>
  </si>
  <si>
    <t xml:space="preserve">IT Risk Heat Map — University IT Department</t>
  </si>
  <si>
    <t xml:space="preserve">Likelihood</t>
  </si>
  <si>
    <t xml:space="preserve">5</t>
  </si>
  <si>
    <t xml:space="preserve">4</t>
  </si>
  <si>
    <t xml:space="preserve">R-005  R-012</t>
  </si>
  <si>
    <t xml:space="preserve">3</t>
  </si>
  <si>
    <t xml:space="preserve">R-006  R-013</t>
  </si>
  <si>
    <t xml:space="preserve">R-003  R-007  R-008  R-011</t>
  </si>
  <si>
    <t xml:space="preserve">2</t>
  </si>
  <si>
    <t xml:space="preserve">1</t>
  </si>
  <si>
    <t xml:space="preserve">Impact</t>
  </si>
  <si>
    <t xml:space="preserve">Legend</t>
  </si>
  <si>
    <t xml:space="preserve">Low  (1-5)</t>
  </si>
  <si>
    <t xml:space="preserve">Medium  (6-10)</t>
  </si>
  <si>
    <t xml:space="preserve">High  (11-19)</t>
  </si>
  <si>
    <t xml:space="preserve">Critical  (20-25)</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</si>
</sst>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10"/>
      <color rgb="FFFFFFFF"/>
      <name val="Arial"/>
      <family val="2"/>
      <charset val="1"/>
    </font>
    <font>
      <sz val="9"/>
      <color rgb="FF111827"/>
      <name val="Arial"/>
      <family val="2"/>
      <charset val="1"/>
    </font>
    <font>
      <b val="true"/>
      <sz val="9"/>
      <color rgb="FF3730A3"/>
      <name val="Arial"/>
      <family val="2"/>
      <charset val="1"/>
    </font>
    <font>
      <b val="true"/>
      <sz val="10"/>
      <color rgb="FF111827"/>
      <name val="Arial"/>
      <family val="2"/>
      <charset val="1"/>
    </font>
    <font>
      <b val="true"/>
      <sz val="9"/>
      <color rgb="FF7F1D1D"/>
      <name val="Arial"/>
      <family val="2"/>
      <charset val="1"/>
    </font>
    <font>
      <b val="true"/>
      <sz val="9"/>
      <color rgb="FF111827"/>
      <name val="Arial"/>
      <family val="2"/>
      <charset val="1"/>
    </font>
    <font>
      <b val="true"/>
      <sz val="9"/>
      <color rgb="FF78350F"/>
      <name val="Arial"/>
      <family val="2"/>
      <charset val="1"/>
    </font>
    <font>
      <b val="true"/>
      <sz val="9"/>
      <color rgb="FF14532D"/>
      <name val="Arial"/>
      <family val="2"/>
      <charset val="1"/>
    </font>
    <font>
      <b val="true"/>
      <sz val="9"/>
      <color rgb="FF065F46"/>
      <name val="Arial"/>
      <family val="2"/>
      <charset val="1"/>
    </font>
    <font>
      <b val="true"/>
      <sz val="9"/>
      <color rgb="FF92400E"/>
      <name val="Arial"/>
      <family val="2"/>
      <charset val="1"/>
    </font>
    <font>
      <b val="true"/>
      <sz val="9"/>
      <color rgb="FF1E40AF"/>
      <name val="Arial"/>
      <family val="2"/>
      <charset val="1"/>
    </font>
    <font>
      <b val="true"/>
      <sz val="14"/>
      <color rgb="FF1F3864"/>
      <name val="Arial"/>
      <family val="2"/>
      <charset val="1"/>
    </font>
    <font>
      <b val="true"/>
      <sz val="10"/>
      <color rgb="FF374151"/>
      <name val="Arial"/>
      <family val="2"/>
      <charset val="1"/>
    </font>
    <font>
      <b val="true"/>
      <sz val="8"/>
      <color rgb="FF1F2937"/>
      <name val="Arial"/>
      <family val="2"/>
      <charset val="1"/>
    </font>
    <font>
      <b val="true"/>
      <sz val="10"/>
      <color rgb="FF1F3864"/>
      <name val="Arial"/>
      <family val="2"/>
      <charset val="1"/>
    </font>
  </fonts>
  <fills count="13">
    <fill>
      <patternFill patternType="none"/>
    </fill>
    <fill>
      <patternFill patternType="gray125"/>
    </fill>
    <fill>
      <patternFill patternType="solid">
        <fgColor rgb="FF1F3864"/>
        <bgColor rgb="FF374151"/>
      </patternFill>
    </fill>
    <fill>
      <patternFill patternType="solid">
        <fgColor rgb="FFEEF2FF"/>
        <bgColor rgb="FFEFF6FF"/>
      </patternFill>
    </fill>
    <fill>
      <patternFill patternType="solid">
        <fgColor rgb="FFFCA5A5"/>
        <bgColor rgb="FFFF8080"/>
      </patternFill>
    </fill>
    <fill>
      <patternFill patternType="solid">
        <fgColor rgb="FFD1FAE5"/>
        <bgColor rgb="FFDBEAFE"/>
      </patternFill>
    </fill>
    <fill>
      <patternFill patternType="solid">
        <fgColor rgb="FFFCD34D"/>
        <bgColor rgb="FFFFCC00"/>
      </patternFill>
    </fill>
    <fill>
      <patternFill patternType="solid">
        <fgColor rgb="FF86EFAC"/>
        <bgColor rgb="FFD1FAE5"/>
      </patternFill>
    </fill>
    <fill>
      <patternFill patternType="solid">
        <fgColor rgb="FFECFDF5"/>
        <bgColor rgb="FFEFF6FF"/>
      </patternFill>
    </fill>
    <fill>
      <patternFill patternType="solid">
        <fgColor rgb="FFFFFBEB"/>
        <bgColor rgb="FFFFFFFF"/>
      </patternFill>
    </fill>
    <fill>
      <patternFill patternType="solid">
        <fgColor rgb="FFFEF3C7"/>
        <bgColor rgb="FFFFFBEB"/>
      </patternFill>
    </fill>
    <fill>
      <patternFill patternType="solid">
        <fgColor rgb="FFEFF6FF"/>
        <bgColor rgb="FFEEF2FF"/>
      </patternFill>
    </fill>
    <fill>
      <patternFill patternType="solid">
        <fgColor rgb="FFDBEAFE"/>
        <bgColor rgb="FFEEF2FF"/>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5" fontId="7" fillId="8" borderId="1" xfId="0" applyFont="true" applyBorder="true" applyAlignment="true" applyProtection="false">
      <alignment horizontal="center" vertical="top" textRotation="0" wrapText="true" indent="0" shrinkToFit="false"/>
      <protection locked="true" hidden="false"/>
    </xf>
    <xf numFmtId="164" fontId="5" fillId="9" borderId="1" xfId="0" applyFont="true" applyBorder="true" applyAlignment="true" applyProtection="false">
      <alignment horizontal="center" vertical="top"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5" fontId="7" fillId="9" borderId="1" xfId="0" applyFont="true" applyBorder="true" applyAlignment="true" applyProtection="false">
      <alignment horizontal="center"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5" fillId="11" borderId="1" xfId="0" applyFont="true" applyBorder="true" applyAlignment="true" applyProtection="false">
      <alignment horizontal="center" vertical="top" textRotation="0" wrapText="true" indent="0" shrinkToFit="false"/>
      <protection locked="true" hidden="false"/>
    </xf>
    <xf numFmtId="164" fontId="14"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5" fontId="7" fillId="11" borderId="1" xfId="0" applyFont="true" applyBorder="true" applyAlignment="true" applyProtection="false">
      <alignment horizontal="center" vertical="top" textRotation="0" wrapText="true" indent="0" shrinkToFit="false"/>
      <protection locked="true" hidden="false"/>
    </xf>
    <xf numFmtId="164" fontId="9" fillId="12"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center" vertical="center" textRotation="90" wrapText="false" indent="0"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17" fillId="5" borderId="2" xfId="0" applyFont="true" applyBorder="true" applyAlignment="true" applyProtection="false">
      <alignment horizontal="center" vertical="center" textRotation="0" wrapText="true" indent="0" shrinkToFit="false"/>
      <protection locked="true" hidden="false"/>
    </xf>
    <xf numFmtId="164" fontId="17" fillId="7" borderId="2"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1F3864"/>
          <bgColor rgb="FF000000"/>
        </patternFill>
      </fill>
    </dxf>
    <dxf>
      <fill>
        <patternFill patternType="solid">
          <fgColor rgb="FFECFDF5"/>
          <bgColor rgb="FF000000"/>
        </patternFill>
      </fill>
    </dxf>
    <dxf>
      <fill>
        <patternFill patternType="solid">
          <fgColor rgb="FFEEF2FF"/>
          <bgColor rgb="FF000000"/>
        </patternFill>
      </fill>
    </dxf>
    <dxf>
      <fill>
        <patternFill patternType="solid">
          <fgColor rgb="FFEFF6FF"/>
          <bgColor rgb="FF000000"/>
        </patternFill>
      </fill>
    </dxf>
    <dxf>
      <fill>
        <patternFill patternType="solid">
          <fgColor rgb="FFFFFBEB"/>
          <bgColor rgb="FF000000"/>
        </patternFill>
      </fill>
    </dxf>
    <dxf>
      <fill>
        <patternFill patternType="solid">
          <fgColor rgb="FF111827"/>
          <bgColor rgb="FF000000"/>
        </patternFill>
      </fill>
    </dxf>
    <dxf>
      <fill>
        <patternFill patternType="solid">
          <fgColor rgb="FFFFFFFF"/>
          <bgColor rgb="FF000000"/>
        </patternFill>
      </fill>
    </dxf>
    <dxf>
      <fill>
        <patternFill patternType="solid">
          <fgColor rgb="FF065F46"/>
          <bgColor rgb="FF000000"/>
        </patternFill>
      </fill>
    </dxf>
    <dxf>
      <fill>
        <patternFill patternType="solid">
          <fgColor rgb="FF1E40AF"/>
          <bgColor rgb="FF000000"/>
        </patternFill>
      </fill>
    </dxf>
    <dxf>
      <fill>
        <patternFill patternType="solid">
          <fgColor rgb="FF3730A3"/>
          <bgColor rgb="FF000000"/>
        </patternFill>
      </fill>
    </dxf>
    <dxf>
      <fill>
        <patternFill patternType="solid">
          <fgColor rgb="FF92400E"/>
          <bgColor rgb="FF000000"/>
        </patternFill>
      </fill>
    </dxf>
    <dxf>
      <fill>
        <patternFill patternType="solid">
          <fgColor rgb="FF86EFAC"/>
          <bgColor rgb="FF000000"/>
        </patternFill>
      </fill>
    </dxf>
    <dxf>
      <fill>
        <patternFill patternType="solid">
          <fgColor rgb="FFFCA5A5"/>
          <bgColor rgb="FF000000"/>
        </patternFill>
      </fill>
    </dxf>
    <dxf>
      <fill>
        <patternFill patternType="solid">
          <fgColor rgb="FFFCD34D"/>
          <bgColor rgb="FF000000"/>
        </patternFill>
      </fill>
    </dxf>
    <dxf>
      <fill>
        <patternFill patternType="solid">
          <fgColor rgb="FF14532D"/>
          <bgColor rgb="FF000000"/>
        </patternFill>
      </fill>
    </dxf>
    <dxf>
      <fill>
        <patternFill patternType="solid">
          <fgColor rgb="FF78350F"/>
          <bgColor rgb="FF000000"/>
        </patternFill>
      </fill>
    </dxf>
    <dxf>
      <fill>
        <patternFill patternType="solid">
          <fgColor rgb="FF7F1D1D"/>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FEF3C7"/>
          <bgColor rgb="FF000000"/>
        </patternFill>
      </fill>
    </dxf>
    <dxf>
      <fill>
        <patternFill>
          <bgColor rgb="FFFCA5A5"/>
        </patternFill>
      </fill>
    </dxf>
    <dxf>
      <fill>
        <patternFill>
          <bgColor rgb="FFFCD34D"/>
        </patternFill>
      </fill>
    </dxf>
    <dxf>
      <fill>
        <patternFill>
          <bgColor rgb="FF86EFAC"/>
        </patternFill>
      </fill>
    </dxf>
    <dxf>
      <fill>
        <patternFill>
          <bgColor rgb="FFD1FAE5"/>
        </patternFill>
      </fill>
    </dxf>
  </dxfs>
  <colors>
    <indexedColors>
      <rgbColor rgb="FF000000"/>
      <rgbColor rgb="FFFFFFFF"/>
      <rgbColor rgb="FFFF0000"/>
      <rgbColor rgb="FF00FF00"/>
      <rgbColor rgb="FF0000FF"/>
      <rgbColor rgb="FFFFFF00"/>
      <rgbColor rgb="FFFF00FF"/>
      <rgbColor rgb="FF00FFFF"/>
      <rgbColor rgb="FF7F1D1D"/>
      <rgbColor rgb="FF14532D"/>
      <rgbColor rgb="FF000080"/>
      <rgbColor rgb="FF808000"/>
      <rgbColor rgb="FF800080"/>
      <rgbColor rgb="FF065F46"/>
      <rgbColor rgb="FFCCCCCC"/>
      <rgbColor rgb="FF808080"/>
      <rgbColor rgb="FF9999FF"/>
      <rgbColor rgb="FF78350F"/>
      <rgbColor rgb="FFFEF3C7"/>
      <rgbColor rgb="FFECFDF5"/>
      <rgbColor rgb="FF660066"/>
      <rgbColor rgb="FFFF8080"/>
      <rgbColor rgb="FF1E40AF"/>
      <rgbColor rgb="FFEEF2FF"/>
      <rgbColor rgb="FF000080"/>
      <rgbColor rgb="FFFF00FF"/>
      <rgbColor rgb="FFFFFF00"/>
      <rgbColor rgb="FF00FFFF"/>
      <rgbColor rgb="FF800080"/>
      <rgbColor rgb="FF800000"/>
      <rgbColor rgb="FF008080"/>
      <rgbColor rgb="FF0000FF"/>
      <rgbColor rgb="FF00CCFF"/>
      <rgbColor rgb="FFDBEAFE"/>
      <rgbColor rgb="FFD1FAE5"/>
      <rgbColor rgb="FFFFFBEB"/>
      <rgbColor rgb="FF86EFAC"/>
      <rgbColor rgb="FFFCA5A5"/>
      <rgbColor rgb="FFEFF6FF"/>
      <rgbColor rgb="FFFCD34D"/>
      <rgbColor rgb="FF3366FF"/>
      <rgbColor rgb="FF33CCCC"/>
      <rgbColor rgb="FF99CC00"/>
      <rgbColor rgb="FFFFCC00"/>
      <rgbColor rgb="FFFF9900"/>
      <rgbColor rgb="FFFF6600"/>
      <rgbColor rgb="FF666699"/>
      <rgbColor rgb="FF969696"/>
      <rgbColor rgb="FF1F3864"/>
      <rgbColor rgb="FF339966"/>
      <rgbColor rgb="FF111827"/>
      <rgbColor rgb="FF374151"/>
      <rgbColor rgb="FF92400E"/>
      <rgbColor rgb="FF993366"/>
      <rgbColor rgb="FF3730A3"/>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true" showRowColHeaders="true" showZeros="true" rightToLeft="false" tabSelected="true" showOutlineSymbols="true" defaultGridColor="true" view="normal" topLeftCell="B1" colorId="64" zoomScale="65" zoomScaleNormal="65" zoomScalePageLayoutView="100" workbookViewId="0">
      <pane xSplit="0" ySplit="1" topLeftCell="A2" activePane="bottomLeft" state="frozen"/>
      <selection pane="topLeft" activeCell="B1" activeCellId="0" sqref="B1"/>
      <selection pane="bottomLeft" activeCell="G5" activeCellId="0" sqref="G5"/>
    </sheetView>
  </sheetViews>
  <sheetFormatPr defaultColWidth="8.6796875" defaultRowHeight="14.2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4"/>
    <col collapsed="false" customWidth="true" hidden="false" outlineLevel="0" max="4" min="4" style="0" width="48"/>
    <col collapsed="false" customWidth="true" hidden="false" outlineLevel="0" max="5" min="5" style="0" width="22"/>
    <col collapsed="false" customWidth="true" hidden="false" outlineLevel="0" max="6" min="6" style="0" width="28"/>
    <col collapsed="false" customWidth="true" hidden="false" outlineLevel="0" max="7" min="7" style="0" width="12"/>
    <col collapsed="false" customWidth="true" hidden="false" outlineLevel="0" max="9" min="8" style="0" width="10"/>
    <col collapsed="false" customWidth="true" hidden="false" outlineLevel="0" max="10" min="10" style="0" width="11"/>
    <col collapsed="false" customWidth="true" hidden="false" outlineLevel="0" max="11" min="11" style="0" width="42"/>
    <col collapsed="false" customWidth="true" hidden="false" outlineLevel="0" max="12" min="12" style="0" width="11"/>
    <col collapsed="false" customWidth="true" hidden="false" outlineLevel="0" max="13" min="13" style="0" width="44"/>
    <col collapsed="false" customWidth="true" hidden="false" outlineLevel="0" max="14" min="14" style="0" width="22"/>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60" hidden="false" customHeight="true" outlineLevel="0" collapsed="false">
      <c r="A2" s="2" t="s">
        <v>14</v>
      </c>
      <c r="B2" s="3" t="s">
        <v>15</v>
      </c>
      <c r="C2" s="4" t="s">
        <v>16</v>
      </c>
      <c r="D2" s="4" t="s">
        <v>17</v>
      </c>
      <c r="E2" s="4" t="s">
        <v>18</v>
      </c>
      <c r="F2" s="4" t="s">
        <v>19</v>
      </c>
      <c r="G2" s="2" t="n">
        <v>5</v>
      </c>
      <c r="H2" s="2" t="n">
        <v>4</v>
      </c>
      <c r="I2" s="5" t="n">
        <f aca="false">G2*H2</f>
        <v>20</v>
      </c>
      <c r="J2" s="6" t="str">
        <f aca="false">IF(I2&gt;=20,"Critical",IF(I2&gt;=11,"High",IF(I2&gt;=6,"Medium","Low")))</f>
        <v>Critical</v>
      </c>
      <c r="K2" s="4" t="s">
        <v>20</v>
      </c>
      <c r="L2" s="7" t="s">
        <v>21</v>
      </c>
      <c r="M2" s="4" t="s">
        <v>22</v>
      </c>
      <c r="N2" s="4" t="s">
        <v>23</v>
      </c>
    </row>
    <row r="3" customFormat="false" ht="60" hidden="false" customHeight="true" outlineLevel="0" collapsed="false">
      <c r="A3" s="2" t="s">
        <v>24</v>
      </c>
      <c r="B3" s="3" t="s">
        <v>15</v>
      </c>
      <c r="C3" s="4" t="s">
        <v>25</v>
      </c>
      <c r="D3" s="4" t="s">
        <v>26</v>
      </c>
      <c r="E3" s="4" t="s">
        <v>18</v>
      </c>
      <c r="F3" s="4" t="s">
        <v>27</v>
      </c>
      <c r="G3" s="2" t="n">
        <v>3</v>
      </c>
      <c r="H3" s="2" t="n">
        <v>5</v>
      </c>
      <c r="I3" s="5" t="n">
        <f aca="false">G3*H3</f>
        <v>15</v>
      </c>
      <c r="J3" s="8" t="str">
        <f aca="false">IF(I3&gt;=20,"Critical",IF(I3&gt;=11,"High",IF(I3&gt;=6,"Medium","Low")))</f>
        <v>High</v>
      </c>
      <c r="K3" s="4" t="s">
        <v>28</v>
      </c>
      <c r="L3" s="7" t="s">
        <v>21</v>
      </c>
      <c r="M3" s="4" t="s">
        <v>29</v>
      </c>
      <c r="N3" s="4" t="s">
        <v>30</v>
      </c>
    </row>
    <row r="4" customFormat="false" ht="60" hidden="false" customHeight="true" outlineLevel="0" collapsed="false">
      <c r="A4" s="2" t="s">
        <v>31</v>
      </c>
      <c r="B4" s="3" t="s">
        <v>15</v>
      </c>
      <c r="C4" s="4" t="s">
        <v>32</v>
      </c>
      <c r="D4" s="4" t="s">
        <v>33</v>
      </c>
      <c r="E4" s="4" t="s">
        <v>34</v>
      </c>
      <c r="F4" s="4" t="s">
        <v>35</v>
      </c>
      <c r="G4" s="2" t="n">
        <v>3</v>
      </c>
      <c r="H4" s="2" t="n">
        <v>4</v>
      </c>
      <c r="I4" s="5" t="n">
        <f aca="false">G4*H4</f>
        <v>12</v>
      </c>
      <c r="J4" s="8" t="str">
        <f aca="false">IF(I4&gt;=20,"Critical",IF(I4&gt;=11,"High",IF(I4&gt;=6,"Medium","Low")))</f>
        <v>High</v>
      </c>
      <c r="K4" s="4" t="s">
        <v>36</v>
      </c>
      <c r="L4" s="7" t="s">
        <v>21</v>
      </c>
      <c r="M4" s="4" t="s">
        <v>37</v>
      </c>
      <c r="N4" s="4" t="s">
        <v>23</v>
      </c>
    </row>
    <row r="5" customFormat="false" ht="60" hidden="false" customHeight="true" outlineLevel="0" collapsed="false">
      <c r="A5" s="2" t="s">
        <v>38</v>
      </c>
      <c r="B5" s="3" t="s">
        <v>15</v>
      </c>
      <c r="C5" s="4" t="s">
        <v>39</v>
      </c>
      <c r="D5" s="4" t="s">
        <v>40</v>
      </c>
      <c r="E5" s="4" t="s">
        <v>41</v>
      </c>
      <c r="F5" s="4" t="s">
        <v>42</v>
      </c>
      <c r="G5" s="2" t="n">
        <v>2</v>
      </c>
      <c r="H5" s="2" t="n">
        <v>5</v>
      </c>
      <c r="I5" s="5" t="n">
        <f aca="false">G5*H5</f>
        <v>10</v>
      </c>
      <c r="J5" s="9" t="str">
        <f aca="false">IF(I5&gt;=20,"Critical",IF(I5&gt;=11,"High",IF(I5&gt;=6,"Medium","Low")))</f>
        <v>Medium</v>
      </c>
      <c r="K5" s="4" t="s">
        <v>43</v>
      </c>
      <c r="L5" s="7" t="s">
        <v>21</v>
      </c>
      <c r="M5" s="4" t="s">
        <v>44</v>
      </c>
      <c r="N5" s="4" t="s">
        <v>45</v>
      </c>
    </row>
    <row r="6" customFormat="false" ht="60" hidden="false" customHeight="true" outlineLevel="0" collapsed="false">
      <c r="A6" s="10" t="s">
        <v>46</v>
      </c>
      <c r="B6" s="11" t="s">
        <v>47</v>
      </c>
      <c r="C6" s="12" t="s">
        <v>48</v>
      </c>
      <c r="D6" s="12" t="s">
        <v>49</v>
      </c>
      <c r="E6" s="12" t="s">
        <v>50</v>
      </c>
      <c r="F6" s="12" t="s">
        <v>51</v>
      </c>
      <c r="G6" s="10" t="n">
        <v>4</v>
      </c>
      <c r="H6" s="10" t="n">
        <v>3</v>
      </c>
      <c r="I6" s="13" t="n">
        <f aca="false">G6*H6</f>
        <v>12</v>
      </c>
      <c r="J6" s="8" t="str">
        <f aca="false">IF(I6&gt;=20,"Critical",IF(I6&gt;=11,"High",IF(I6&gt;=6,"Medium","Low")))</f>
        <v>High</v>
      </c>
      <c r="K6" s="12" t="s">
        <v>52</v>
      </c>
      <c r="L6" s="7" t="s">
        <v>21</v>
      </c>
      <c r="M6" s="12" t="s">
        <v>53</v>
      </c>
      <c r="N6" s="12" t="s">
        <v>30</v>
      </c>
    </row>
    <row r="7" customFormat="false" ht="60" hidden="false" customHeight="true" outlineLevel="0" collapsed="false">
      <c r="A7" s="10" t="s">
        <v>54</v>
      </c>
      <c r="B7" s="11" t="s">
        <v>47</v>
      </c>
      <c r="C7" s="12" t="s">
        <v>55</v>
      </c>
      <c r="D7" s="12" t="s">
        <v>56</v>
      </c>
      <c r="E7" s="12" t="s">
        <v>57</v>
      </c>
      <c r="F7" s="12" t="s">
        <v>58</v>
      </c>
      <c r="G7" s="10" t="n">
        <v>3</v>
      </c>
      <c r="H7" s="10" t="n">
        <v>3</v>
      </c>
      <c r="I7" s="13" t="n">
        <f aca="false">G7*H7</f>
        <v>9</v>
      </c>
      <c r="J7" s="9" t="str">
        <f aca="false">IF(I7&gt;=20,"Critical",IF(I7&gt;=11,"High",IF(I7&gt;=6,"Medium","Low")))</f>
        <v>Medium</v>
      </c>
      <c r="K7" s="12" t="s">
        <v>59</v>
      </c>
      <c r="L7" s="7" t="s">
        <v>21</v>
      </c>
      <c r="M7" s="12" t="s">
        <v>60</v>
      </c>
      <c r="N7" s="12" t="s">
        <v>61</v>
      </c>
    </row>
    <row r="8" customFormat="false" ht="60" hidden="false" customHeight="true" outlineLevel="0" collapsed="false">
      <c r="A8" s="10" t="s">
        <v>62</v>
      </c>
      <c r="B8" s="11" t="s">
        <v>47</v>
      </c>
      <c r="C8" s="12" t="s">
        <v>63</v>
      </c>
      <c r="D8" s="12" t="s">
        <v>64</v>
      </c>
      <c r="E8" s="12" t="s">
        <v>65</v>
      </c>
      <c r="F8" s="12" t="s">
        <v>66</v>
      </c>
      <c r="G8" s="10" t="n">
        <v>3</v>
      </c>
      <c r="H8" s="10" t="n">
        <v>4</v>
      </c>
      <c r="I8" s="13" t="n">
        <f aca="false">G8*H8</f>
        <v>12</v>
      </c>
      <c r="J8" s="8" t="str">
        <f aca="false">IF(I8&gt;=20,"Critical",IF(I8&gt;=11,"High",IF(I8&gt;=6,"Medium","Low")))</f>
        <v>High</v>
      </c>
      <c r="K8" s="12" t="s">
        <v>67</v>
      </c>
      <c r="L8" s="7" t="s">
        <v>21</v>
      </c>
      <c r="M8" s="12" t="s">
        <v>68</v>
      </c>
      <c r="N8" s="12" t="s">
        <v>30</v>
      </c>
    </row>
    <row r="9" customFormat="false" ht="60" hidden="false" customHeight="true" outlineLevel="0" collapsed="false">
      <c r="A9" s="14" t="s">
        <v>69</v>
      </c>
      <c r="B9" s="15" t="s">
        <v>70</v>
      </c>
      <c r="C9" s="16" t="s">
        <v>71</v>
      </c>
      <c r="D9" s="16" t="s">
        <v>72</v>
      </c>
      <c r="E9" s="16" t="s">
        <v>73</v>
      </c>
      <c r="F9" s="16" t="s">
        <v>74</v>
      </c>
      <c r="G9" s="14" t="n">
        <v>3</v>
      </c>
      <c r="H9" s="14" t="n">
        <v>4</v>
      </c>
      <c r="I9" s="17" t="n">
        <f aca="false">G9*H9</f>
        <v>12</v>
      </c>
      <c r="J9" s="8" t="str">
        <f aca="false">IF(I9&gt;=20,"Critical",IF(I9&gt;=11,"High",IF(I9&gt;=6,"Medium","Low")))</f>
        <v>High</v>
      </c>
      <c r="K9" s="16" t="s">
        <v>75</v>
      </c>
      <c r="L9" s="7" t="s">
        <v>21</v>
      </c>
      <c r="M9" s="16" t="s">
        <v>76</v>
      </c>
      <c r="N9" s="16" t="s">
        <v>77</v>
      </c>
    </row>
    <row r="10" customFormat="false" ht="60" hidden="false" customHeight="true" outlineLevel="0" collapsed="false">
      <c r="A10" s="14" t="s">
        <v>78</v>
      </c>
      <c r="B10" s="15" t="s">
        <v>70</v>
      </c>
      <c r="C10" s="16" t="s">
        <v>79</v>
      </c>
      <c r="D10" s="16" t="s">
        <v>80</v>
      </c>
      <c r="E10" s="16" t="s">
        <v>81</v>
      </c>
      <c r="F10" s="16" t="s">
        <v>82</v>
      </c>
      <c r="G10" s="14" t="n">
        <v>2</v>
      </c>
      <c r="H10" s="14" t="n">
        <v>4</v>
      </c>
      <c r="I10" s="17" t="n">
        <f aca="false">G10*H10</f>
        <v>8</v>
      </c>
      <c r="J10" s="9" t="str">
        <f aca="false">IF(I10&gt;=20,"Critical",IF(I10&gt;=11,"High",IF(I10&gt;=6,"Medium","Low")))</f>
        <v>Medium</v>
      </c>
      <c r="K10" s="16" t="s">
        <v>83</v>
      </c>
      <c r="L10" s="7" t="s">
        <v>21</v>
      </c>
      <c r="M10" s="16" t="s">
        <v>84</v>
      </c>
      <c r="N10" s="16" t="s">
        <v>23</v>
      </c>
    </row>
    <row r="11" customFormat="false" ht="60" hidden="false" customHeight="true" outlineLevel="0" collapsed="false">
      <c r="A11" s="14" t="s">
        <v>85</v>
      </c>
      <c r="B11" s="15" t="s">
        <v>70</v>
      </c>
      <c r="C11" s="16" t="s">
        <v>86</v>
      </c>
      <c r="D11" s="16" t="s">
        <v>87</v>
      </c>
      <c r="E11" s="16" t="s">
        <v>88</v>
      </c>
      <c r="F11" s="16" t="s">
        <v>89</v>
      </c>
      <c r="G11" s="14" t="n">
        <v>3</v>
      </c>
      <c r="H11" s="14" t="n">
        <v>2</v>
      </c>
      <c r="I11" s="17" t="n">
        <f aca="false">G11*H11</f>
        <v>6</v>
      </c>
      <c r="J11" s="9" t="str">
        <f aca="false">IF(I11&gt;=20,"Critical",IF(I11&gt;=11,"High",IF(I11&gt;=6,"Medium","Low")))</f>
        <v>Medium</v>
      </c>
      <c r="K11" s="16" t="s">
        <v>90</v>
      </c>
      <c r="L11" s="18" t="s">
        <v>91</v>
      </c>
      <c r="M11" s="16" t="s">
        <v>92</v>
      </c>
      <c r="N11" s="16" t="s">
        <v>93</v>
      </c>
    </row>
    <row r="12" customFormat="false" ht="60" hidden="false" customHeight="true" outlineLevel="0" collapsed="false">
      <c r="A12" s="19" t="s">
        <v>94</v>
      </c>
      <c r="B12" s="20" t="s">
        <v>95</v>
      </c>
      <c r="C12" s="21" t="s">
        <v>96</v>
      </c>
      <c r="D12" s="21" t="s">
        <v>97</v>
      </c>
      <c r="E12" s="21" t="s">
        <v>98</v>
      </c>
      <c r="F12" s="21" t="s">
        <v>99</v>
      </c>
      <c r="G12" s="19" t="n">
        <v>3</v>
      </c>
      <c r="H12" s="19" t="n">
        <v>4</v>
      </c>
      <c r="I12" s="22" t="n">
        <f aca="false">G12*H12</f>
        <v>12</v>
      </c>
      <c r="J12" s="8" t="str">
        <f aca="false">IF(I12&gt;=20,"Critical",IF(I12&gt;=11,"High",IF(I12&gt;=6,"Medium","Low")))</f>
        <v>High</v>
      </c>
      <c r="K12" s="21" t="s">
        <v>100</v>
      </c>
      <c r="L12" s="23" t="s">
        <v>101</v>
      </c>
      <c r="M12" s="21" t="s">
        <v>102</v>
      </c>
      <c r="N12" s="21" t="s">
        <v>61</v>
      </c>
    </row>
    <row r="13" customFormat="false" ht="60" hidden="false" customHeight="true" outlineLevel="0" collapsed="false">
      <c r="A13" s="19" t="s">
        <v>103</v>
      </c>
      <c r="B13" s="20" t="s">
        <v>95</v>
      </c>
      <c r="C13" s="21" t="s">
        <v>104</v>
      </c>
      <c r="D13" s="21" t="s">
        <v>105</v>
      </c>
      <c r="E13" s="21" t="s">
        <v>106</v>
      </c>
      <c r="F13" s="21" t="s">
        <v>107</v>
      </c>
      <c r="G13" s="19" t="n">
        <v>4</v>
      </c>
      <c r="H13" s="19" t="n">
        <v>3</v>
      </c>
      <c r="I13" s="22" t="n">
        <f aca="false">G13*H13</f>
        <v>12</v>
      </c>
      <c r="J13" s="8" t="str">
        <f aca="false">IF(I13&gt;=20,"Critical",IF(I13&gt;=11,"High",IF(I13&gt;=6,"Medium","Low")))</f>
        <v>High</v>
      </c>
      <c r="K13" s="21" t="s">
        <v>108</v>
      </c>
      <c r="L13" s="7" t="s">
        <v>21</v>
      </c>
      <c r="M13" s="21" t="s">
        <v>109</v>
      </c>
      <c r="N13" s="21" t="s">
        <v>110</v>
      </c>
    </row>
    <row r="14" customFormat="false" ht="60" hidden="false" customHeight="true" outlineLevel="0" collapsed="false">
      <c r="A14" s="19" t="s">
        <v>111</v>
      </c>
      <c r="B14" s="20" t="s">
        <v>95</v>
      </c>
      <c r="C14" s="21" t="s">
        <v>112</v>
      </c>
      <c r="D14" s="21" t="s">
        <v>113</v>
      </c>
      <c r="E14" s="21" t="s">
        <v>114</v>
      </c>
      <c r="F14" s="21" t="s">
        <v>115</v>
      </c>
      <c r="G14" s="19" t="n">
        <v>3</v>
      </c>
      <c r="H14" s="19" t="n">
        <v>3</v>
      </c>
      <c r="I14" s="22" t="n">
        <f aca="false">G14*H14</f>
        <v>9</v>
      </c>
      <c r="J14" s="9" t="str">
        <f aca="false">IF(I14&gt;=20,"Critical",IF(I14&gt;=11,"High",IF(I14&gt;=6,"Medium","Low")))</f>
        <v>Medium</v>
      </c>
      <c r="K14" s="21" t="s">
        <v>116</v>
      </c>
      <c r="L14" s="7" t="s">
        <v>21</v>
      </c>
      <c r="M14" s="21" t="s">
        <v>117</v>
      </c>
      <c r="N14" s="21" t="s">
        <v>118</v>
      </c>
    </row>
  </sheetData>
  <autoFilter ref="A1:N14"/>
  <conditionalFormatting sqref="J2:J14">
    <cfRule type="expression" priority="2" aboveAverage="0" equalAverage="0" bottom="0" percent="0" rank="0" text="" dxfId="20">
      <formula>$J2="Critical"</formula>
    </cfRule>
    <cfRule type="expression" priority="3" aboveAverage="0" equalAverage="0" bottom="0" percent="0" rank="0" text="" dxfId="21">
      <formula>$J2="High"</formula>
    </cfRule>
    <cfRule type="expression" priority="4" aboveAverage="0" equalAverage="0" bottom="0" percent="0" rank="0" text="" dxfId="22">
      <formula>$J2="Medium"</formula>
    </cfRule>
    <cfRule type="expression" priority="5" aboveAverage="0" equalAverage="0" bottom="0" percent="0" rank="0" text="" dxfId="23">
      <formula>$J2="Low"</formula>
    </cfRule>
  </conditionalFormatting>
  <dataValidations count="1">
    <dataValidation allowBlank="false" error="Enter a whole number from 1 to 5." errorStyle="stop" errorTitle="Invalid value" operator="between" showDropDown="false" showErrorMessage="true" showInputMessage="false" sqref="G2:H14"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false" showOutlineSymbols="true" defaultGridColor="true" view="normal" topLeftCell="A1" colorId="64" zoomScale="76" zoomScaleNormal="76" zoomScalePageLayoutView="100" workbookViewId="0">
      <selection pane="topLeft" activeCell="C14" activeCellId="0" sqref="C14"/>
    </sheetView>
  </sheetViews>
  <sheetFormatPr defaultColWidth="8.6796875" defaultRowHeight="14.25"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12" min="3" style="0" width="8"/>
  </cols>
  <sheetData>
    <row r="1" customFormat="false" ht="30" hidden="false" customHeight="true" outlineLevel="0" collapsed="false">
      <c r="B1" s="24" t="s">
        <v>119</v>
      </c>
      <c r="C1" s="24"/>
      <c r="D1" s="24"/>
      <c r="E1" s="24"/>
      <c r="F1" s="24"/>
      <c r="G1" s="24"/>
      <c r="H1" s="24"/>
      <c r="I1" s="24"/>
      <c r="J1" s="24"/>
      <c r="K1" s="24"/>
      <c r="L1" s="24"/>
    </row>
    <row r="3" customFormat="false" ht="36" hidden="false" customHeight="true" outlineLevel="0" collapsed="false">
      <c r="A3" s="25" t="s">
        <v>120</v>
      </c>
      <c r="B3" s="26" t="s">
        <v>121</v>
      </c>
      <c r="C3" s="27"/>
      <c r="D3" s="27"/>
      <c r="E3" s="28"/>
      <c r="F3" s="28"/>
      <c r="G3" s="29"/>
      <c r="H3" s="29"/>
      <c r="I3" s="30" t="s">
        <v>14</v>
      </c>
      <c r="J3" s="30"/>
      <c r="K3" s="30"/>
      <c r="L3" s="30"/>
    </row>
    <row r="4" customFormat="false" ht="36" hidden="false" customHeight="true" outlineLevel="0" collapsed="false">
      <c r="A4" s="25"/>
      <c r="B4" s="25"/>
      <c r="C4" s="27"/>
      <c r="D4" s="27"/>
      <c r="E4" s="28"/>
      <c r="F4" s="28"/>
      <c r="G4" s="29"/>
      <c r="H4" s="29"/>
      <c r="I4" s="30"/>
      <c r="J4" s="30"/>
      <c r="K4" s="30"/>
      <c r="L4" s="30"/>
    </row>
    <row r="5" customFormat="false" ht="36" hidden="false" customHeight="true" outlineLevel="0" collapsed="false">
      <c r="A5" s="25"/>
      <c r="B5" s="26" t="s">
        <v>122</v>
      </c>
      <c r="C5" s="27"/>
      <c r="D5" s="27"/>
      <c r="E5" s="28"/>
      <c r="F5" s="28"/>
      <c r="G5" s="29" t="s">
        <v>123</v>
      </c>
      <c r="H5" s="29"/>
      <c r="I5" s="29"/>
      <c r="J5" s="29"/>
      <c r="K5" s="30"/>
      <c r="L5" s="30"/>
    </row>
    <row r="6" customFormat="false" ht="36" hidden="false" customHeight="true" outlineLevel="0" collapsed="false">
      <c r="A6" s="25"/>
      <c r="B6" s="25"/>
      <c r="C6" s="27"/>
      <c r="D6" s="27"/>
      <c r="E6" s="28"/>
      <c r="F6" s="28"/>
      <c r="G6" s="29"/>
      <c r="H6" s="29"/>
      <c r="I6" s="29"/>
      <c r="J6" s="29"/>
      <c r="K6" s="30"/>
      <c r="L6" s="30"/>
    </row>
    <row r="7" customFormat="false" ht="36" hidden="false" customHeight="true" outlineLevel="0" collapsed="false">
      <c r="A7" s="25"/>
      <c r="B7" s="26" t="s">
        <v>124</v>
      </c>
      <c r="C7" s="27"/>
      <c r="D7" s="27"/>
      <c r="E7" s="28" t="s">
        <v>85</v>
      </c>
      <c r="F7" s="28"/>
      <c r="G7" s="28" t="s">
        <v>125</v>
      </c>
      <c r="H7" s="28"/>
      <c r="I7" s="29" t="s">
        <v>126</v>
      </c>
      <c r="J7" s="29"/>
      <c r="K7" s="29" t="s">
        <v>24</v>
      </c>
      <c r="L7" s="29"/>
    </row>
    <row r="8" customFormat="false" ht="36" hidden="false" customHeight="true" outlineLevel="0" collapsed="false">
      <c r="A8" s="25"/>
      <c r="B8" s="25"/>
      <c r="C8" s="27"/>
      <c r="D8" s="27"/>
      <c r="E8" s="28"/>
      <c r="F8" s="28"/>
      <c r="G8" s="28"/>
      <c r="H8" s="28"/>
      <c r="I8" s="29"/>
      <c r="J8" s="29"/>
      <c r="K8" s="29"/>
      <c r="L8" s="29"/>
    </row>
    <row r="9" customFormat="false" ht="36" hidden="false" customHeight="true" outlineLevel="0" collapsed="false">
      <c r="A9" s="25"/>
      <c r="B9" s="26" t="s">
        <v>127</v>
      </c>
      <c r="C9" s="27"/>
      <c r="D9" s="27"/>
      <c r="E9" s="27"/>
      <c r="F9" s="27"/>
      <c r="G9" s="28"/>
      <c r="H9" s="28"/>
      <c r="I9" s="28" t="s">
        <v>78</v>
      </c>
      <c r="J9" s="28"/>
      <c r="K9" s="28" t="s">
        <v>38</v>
      </c>
      <c r="L9" s="28"/>
    </row>
    <row r="10" customFormat="false" ht="36" hidden="false" customHeight="true" outlineLevel="0" collapsed="false">
      <c r="A10" s="25"/>
      <c r="B10" s="25"/>
      <c r="C10" s="27"/>
      <c r="D10" s="27"/>
      <c r="E10" s="27"/>
      <c r="F10" s="27"/>
      <c r="G10" s="28"/>
      <c r="H10" s="28"/>
      <c r="I10" s="28"/>
      <c r="J10" s="28"/>
      <c r="K10" s="28"/>
      <c r="L10" s="28"/>
    </row>
    <row r="11" customFormat="false" ht="36" hidden="false" customHeight="true" outlineLevel="0" collapsed="false">
      <c r="A11" s="25"/>
      <c r="B11" s="26" t="s">
        <v>128</v>
      </c>
      <c r="C11" s="27"/>
      <c r="D11" s="27"/>
      <c r="E11" s="27"/>
      <c r="F11" s="27"/>
      <c r="G11" s="27"/>
      <c r="H11" s="27"/>
      <c r="I11" s="27"/>
      <c r="J11" s="27"/>
      <c r="K11" s="27"/>
      <c r="L11" s="27"/>
    </row>
    <row r="12" customFormat="false" ht="36" hidden="false" customHeight="true" outlineLevel="0" collapsed="false">
      <c r="A12" s="25"/>
      <c r="B12" s="25"/>
      <c r="C12" s="27"/>
      <c r="D12" s="27"/>
      <c r="E12" s="27"/>
      <c r="F12" s="27"/>
      <c r="G12" s="27"/>
      <c r="H12" s="27"/>
      <c r="I12" s="27"/>
      <c r="J12" s="27"/>
      <c r="K12" s="27"/>
      <c r="L12" s="27"/>
    </row>
    <row r="13" customFormat="false" ht="14.25" hidden="false" customHeight="false" outlineLevel="0" collapsed="false">
      <c r="C13" s="26" t="s">
        <v>128</v>
      </c>
      <c r="D13" s="26"/>
      <c r="E13" s="26" t="s">
        <v>127</v>
      </c>
      <c r="F13" s="26"/>
      <c r="G13" s="26" t="s">
        <v>124</v>
      </c>
      <c r="H13" s="26"/>
      <c r="I13" s="26" t="s">
        <v>122</v>
      </c>
      <c r="J13" s="26"/>
      <c r="K13" s="26" t="s">
        <v>121</v>
      </c>
      <c r="L13" s="26"/>
    </row>
    <row r="14" customFormat="false" ht="14.25" hidden="false" customHeight="false" outlineLevel="0" collapsed="false">
      <c r="C14" s="26" t="s">
        <v>129</v>
      </c>
      <c r="D14" s="26"/>
      <c r="E14" s="26"/>
      <c r="F14" s="26"/>
      <c r="G14" s="26"/>
      <c r="H14" s="26"/>
      <c r="I14" s="26"/>
      <c r="J14" s="26"/>
      <c r="K14" s="26"/>
      <c r="L14" s="26"/>
    </row>
    <row r="16" customFormat="false" ht="14.25" hidden="false" customHeight="false" outlineLevel="0" collapsed="false">
      <c r="B16" s="31" t="s">
        <v>130</v>
      </c>
    </row>
    <row r="17" customFormat="false" ht="18" hidden="false" customHeight="true" outlineLevel="0" collapsed="false">
      <c r="B17" s="32" t="s">
        <v>131</v>
      </c>
      <c r="C17" s="32"/>
      <c r="D17" s="32"/>
      <c r="E17" s="32"/>
    </row>
    <row r="18" customFormat="false" ht="18" hidden="false" customHeight="true" outlineLevel="0" collapsed="false">
      <c r="B18" s="33" t="s">
        <v>132</v>
      </c>
      <c r="C18" s="33"/>
      <c r="D18" s="33"/>
      <c r="E18" s="33"/>
    </row>
    <row r="19" customFormat="false" ht="18" hidden="false" customHeight="true" outlineLevel="0" collapsed="false">
      <c r="B19" s="34" t="s">
        <v>133</v>
      </c>
      <c r="C19" s="34"/>
      <c r="D19" s="34"/>
      <c r="E19" s="34"/>
    </row>
    <row r="20" customFormat="false" ht="18" hidden="false" customHeight="true" outlineLevel="0" collapsed="false">
      <c r="B20" s="35" t="s">
        <v>134</v>
      </c>
      <c r="C20" s="35"/>
      <c r="D20" s="35"/>
      <c r="E20" s="35"/>
    </row>
  </sheetData>
  <mergeCells count="42">
    <mergeCell ref="B1:L1"/>
    <mergeCell ref="A3:A12"/>
    <mergeCell ref="B3:B4"/>
    <mergeCell ref="C3:D4"/>
    <mergeCell ref="E3:F4"/>
    <mergeCell ref="G3:H4"/>
    <mergeCell ref="I3:J4"/>
    <mergeCell ref="K3:L4"/>
    <mergeCell ref="B5:B6"/>
    <mergeCell ref="C5:D6"/>
    <mergeCell ref="E5:F6"/>
    <mergeCell ref="G5:H6"/>
    <mergeCell ref="I5:J6"/>
    <mergeCell ref="K5:L6"/>
    <mergeCell ref="B7:B8"/>
    <mergeCell ref="C7:D8"/>
    <mergeCell ref="E7:F8"/>
    <mergeCell ref="G7:H8"/>
    <mergeCell ref="I7:J8"/>
    <mergeCell ref="K7:L8"/>
    <mergeCell ref="B9:B10"/>
    <mergeCell ref="C9:D10"/>
    <mergeCell ref="E9:F10"/>
    <mergeCell ref="G9:H10"/>
    <mergeCell ref="I9:J10"/>
    <mergeCell ref="K9:L10"/>
    <mergeCell ref="B11:B12"/>
    <mergeCell ref="C11:D12"/>
    <mergeCell ref="E11:F12"/>
    <mergeCell ref="G11:H12"/>
    <mergeCell ref="I11:J12"/>
    <mergeCell ref="K11:L12"/>
    <mergeCell ref="C13:D13"/>
    <mergeCell ref="E13:F13"/>
    <mergeCell ref="G13:H13"/>
    <mergeCell ref="I13:J13"/>
    <mergeCell ref="K13:L13"/>
    <mergeCell ref="C14:L14"/>
    <mergeCell ref="B17:E17"/>
    <mergeCell ref="B18:E18"/>
    <mergeCell ref="B19:E19"/>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2026-06-07T10:28:38Z</dcterms:created>
  <dc:creator>openpyxl</dc:creator>
  <dc:description/>
  <dc:language>en-US</dc:language>
  <cp:lastModifiedBy>Rushikesh Pandya</cp:lastModifiedBy>
  <dcterms:modified xsi:type="dcterms:W3CDTF">2026-06-23T12:03:59Z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